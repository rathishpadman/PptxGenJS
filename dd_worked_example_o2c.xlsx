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rocess Overview" sheetId="1" state="visible" r:id="rId1"/>
    <sheet xmlns:r="http://schemas.openxmlformats.org/officeDocument/2006/relationships" name="2. Complexity Scoring" sheetId="2" state="visible" r:id="rId2"/>
    <sheet xmlns:r="http://schemas.openxmlformats.org/officeDocument/2006/relationships" name="3. Impact Scoring" sheetId="3" state="visible" r:id="rId3"/>
    <sheet xmlns:r="http://schemas.openxmlformats.org/officeDocument/2006/relationships" name="4. Prioritization" sheetId="4" state="visible" r:id="rId4"/>
    <sheet xmlns:r="http://schemas.openxmlformats.org/officeDocument/2006/relationships" name="5. Technology Archetype" sheetId="5" state="visible" r:id="rId5"/>
    <sheet xmlns:r="http://schemas.openxmlformats.org/officeDocument/2006/relationships" name="6. ROI Calcul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$#,##0"/>
    <numFmt numFmtId="166" formatCode="$#,##0.00"/>
    <numFmt numFmtId="167" formatCode="$#,##0;($#,##0)"/>
    <numFmt numFmtId="168" formatCode="0.0&quot; months&quot;"/>
  </numFmts>
  <fonts count="22">
    <font>
      <name val="Calibri"/>
      <family val="2"/>
      <color theme="1"/>
      <sz val="11"/>
      <scheme val="minor"/>
    </font>
    <font>
      <name val="Calibri"/>
      <b val="1"/>
      <color rgb="FF411482"/>
      <sz val="16"/>
    </font>
    <font>
      <name val="Calibri"/>
      <i val="1"/>
      <color rgb="FF64748B"/>
      <sz val="10"/>
    </font>
    <font>
      <b val="1"/>
      <color rgb="FF411482"/>
      <sz val="11"/>
    </font>
    <font>
      <name val="Calibri"/>
      <b val="1"/>
      <color rgb="FFFFFFFF"/>
      <sz val="11"/>
    </font>
    <font>
      <b val="1"/>
    </font>
    <font>
      <i val="1"/>
      <color rgb="FF64748B"/>
      <sz val="9"/>
    </font>
    <font>
      <b val="1"/>
      <color rgb="FF411482"/>
    </font>
    <font>
      <name val="Calibri"/>
      <i val="1"/>
      <color rgb="FF64748B"/>
      <sz val="9"/>
    </font>
    <font>
      <b val="1"/>
      <sz val="12"/>
    </font>
    <font>
      <b val="1"/>
      <color rgb="FF411482"/>
      <sz val="14"/>
    </font>
    <font>
      <b val="1"/>
      <color rgb="FF0F5FDC"/>
    </font>
    <font>
      <b val="1"/>
      <color rgb="FF0F5FDC"/>
      <sz val="14"/>
    </font>
    <font>
      <b val="1"/>
      <color rgb="FF411482"/>
      <sz val="12"/>
    </font>
    <font>
      <b val="1"/>
      <color rgb="FF0F5FDC"/>
      <sz val="12"/>
    </font>
    <font>
      <sz val="12"/>
    </font>
    <font>
      <b val="1"/>
      <color rgb="FFFFFFFF"/>
      <sz val="18"/>
    </font>
    <font>
      <b val="1"/>
      <sz val="11"/>
    </font>
    <font>
      <b val="1"/>
      <color rgb="FF64748B"/>
      <sz val="9"/>
    </font>
    <font>
      <color rgb="FF64748B"/>
      <sz val="9"/>
    </font>
    <font>
      <i val="1"/>
    </font>
    <font>
      <b val="1"/>
      <color rgb="FF0F5FDC"/>
      <sz val="13"/>
    </font>
  </fonts>
  <fills count="8">
    <fill>
      <patternFill/>
    </fill>
    <fill>
      <patternFill patternType="gray125"/>
    </fill>
    <fill>
      <patternFill patternType="solid">
        <fgColor rgb="FF411482"/>
      </patternFill>
    </fill>
    <fill>
      <patternFill patternType="solid">
        <fgColor rgb="FFE6EBF5"/>
      </patternFill>
    </fill>
    <fill>
      <patternFill patternType="solid">
        <fgColor rgb="FFEFEAFB"/>
      </patternFill>
    </fill>
    <fill>
      <patternFill patternType="solid">
        <fgColor rgb="FF0F5FDC"/>
      </patternFill>
    </fill>
    <fill>
      <patternFill patternType="solid">
        <fgColor rgb="FFDCE6F0"/>
      </patternFill>
    </fill>
    <fill>
      <patternFill patternType="solid">
        <fgColor rgb="FFC8D2DD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9" fontId="0" fillId="0" borderId="0" pivotButton="0" quotePrefix="0" xfId="0"/>
    <xf numFmtId="164" fontId="7" fillId="0" borderId="0" pivotButton="0" quotePrefix="0" xfId="0"/>
    <xf numFmtId="0" fontId="8" fillId="0" borderId="0" applyAlignment="1" pivotButton="0" quotePrefix="0" xfId="0">
      <alignment vertical="top" wrapText="1"/>
    </xf>
    <xf numFmtId="9" fontId="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0" fontId="9" fillId="4" borderId="1" pivotButton="0" quotePrefix="0" xfId="0"/>
    <xf numFmtId="0" fontId="0" fillId="4" borderId="1" pivotButton="0" quotePrefix="0" xfId="0"/>
    <xf numFmtId="2" fontId="10" fillId="4" borderId="1" pivotButton="0" quotePrefix="0" xfId="0"/>
    <xf numFmtId="0" fontId="4" fillId="5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9" fillId="6" borderId="1" pivotButton="0" quotePrefix="0" xfId="0"/>
    <xf numFmtId="0" fontId="0" fillId="6" borderId="1" pivotButton="0" quotePrefix="0" xfId="0"/>
    <xf numFmtId="2" fontId="12" fillId="6" borderId="1" pivotButton="0" quotePrefix="0" xfId="0"/>
    <xf numFmtId="0" fontId="5" fillId="0" borderId="1" pivotButton="0" quotePrefix="0" xfId="0"/>
    <xf numFmtId="2" fontId="13" fillId="0" borderId="1" pivotButton="0" quotePrefix="0" xfId="0"/>
    <xf numFmtId="0" fontId="0" fillId="0" borderId="1" pivotButton="0" quotePrefix="0" xfId="0"/>
    <xf numFmtId="2" fontId="14" fillId="0" borderId="1" pivotButton="0" quotePrefix="0" xfId="0"/>
    <xf numFmtId="0" fontId="15" fillId="0" borderId="0" pivotButton="0" quotePrefix="0" xfId="0"/>
    <xf numFmtId="0" fontId="16" fillId="2" borderId="0" applyAlignment="1" pivotButton="0" quotePrefix="0" xfId="0">
      <alignment horizontal="center" vertical="center"/>
    </xf>
    <xf numFmtId="0" fontId="18" fillId="0" borderId="0" pivotButton="0" quotePrefix="0" xfId="0"/>
    <xf numFmtId="0" fontId="17" fillId="4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7" fillId="3" borderId="1" applyAlignment="1" pivotButton="0" quotePrefix="0" xfId="0">
      <alignment vertical="center" wrapText="1"/>
    </xf>
    <xf numFmtId="164" fontId="0" fillId="0" borderId="1" pivotButton="0" quotePrefix="0" xfId="0"/>
    <xf numFmtId="0" fontId="6" fillId="0" borderId="1" pivotButton="0" quotePrefix="0" xfId="0"/>
    <xf numFmtId="9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5" fontId="7" fillId="4" borderId="1" pivotButton="0" quotePrefix="0" xfId="0"/>
    <xf numFmtId="0" fontId="20" fillId="0" borderId="1" pivotButton="0" quotePrefix="0" xfId="0"/>
    <xf numFmtId="167" fontId="0" fillId="0" borderId="1" pivotButton="0" quotePrefix="0" xfId="0"/>
    <xf numFmtId="167" fontId="5" fillId="3" borderId="1" pivotButton="0" quotePrefix="0" xfId="0"/>
    <xf numFmtId="0" fontId="7" fillId="0" borderId="1" pivotButton="0" quotePrefix="0" xfId="0"/>
    <xf numFmtId="167" fontId="7" fillId="0" borderId="1" pivotButton="0" quotePrefix="0" xfId="0"/>
    <xf numFmtId="165" fontId="21" fillId="6" borderId="1" pivotButton="0" quotePrefix="0" xfId="0"/>
    <xf numFmtId="168" fontId="21" fillId="6" borderId="1" pivotButton="0" quotePrefix="0" xfId="0"/>
  </cellXfs>
  <cellStyles count="1">
    <cellStyle name="Normal" xfId="0" builtinId="0" hidden="0"/>
  </cellStyles>
  <dxfs count="1">
    <dxf>
      <border>
        <left style="thick">
          <color rgb="FF411482"/>
        </left>
        <right style="thick">
          <color rgb="FF411482"/>
        </right>
        <top style="thick">
          <color rgb="FF411482"/>
        </top>
        <bottom style="thick">
          <color rgb="FF41148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0" customWidth="1" min="3" max="3"/>
    <col width="22" customWidth="1" min="4" max="4"/>
  </cols>
  <sheetData>
    <row r="1">
      <c r="A1" s="1" t="inlineStr">
        <is>
          <t>Order-to-Cash — Cash Application</t>
        </is>
      </c>
    </row>
    <row r="2">
      <c r="A2" s="2" t="inlineStr">
        <is>
          <t>Worked example companion to the Transformation Due Diligence training pack.</t>
        </is>
      </c>
    </row>
    <row r="4" ht="34" customHeight="1">
      <c r="A4" s="3" t="inlineStr">
        <is>
          <t>Order-to-Cash spans order management, credit, fulfillment, billing, collections and cash application. This workbook zooms into one L4 activity: matching incoming payments to open invoices.</t>
        </is>
      </c>
    </row>
    <row r="6">
      <c r="A6" s="4" t="inlineStr">
        <is>
          <t>PROCESS STEPS</t>
        </is>
      </c>
    </row>
    <row r="7">
      <c r="A7" s="5" t="inlineStr">
        <is>
          <t>#</t>
        </is>
      </c>
      <c r="B7" s="5" t="inlineStr">
        <is>
          <t>Step</t>
        </is>
      </c>
      <c r="C7" s="5" t="inlineStr">
        <is>
          <t>Description</t>
        </is>
      </c>
      <c r="D7" s="5" t="inlineStr">
        <is>
          <t>System(s) involved</t>
        </is>
      </c>
    </row>
    <row r="8">
      <c r="A8" s="6" t="n">
        <v>1</v>
      </c>
      <c r="B8" s="7" t="inlineStr">
        <is>
          <t>Remittance received</t>
        </is>
      </c>
      <c r="C8" s="6" t="inlineStr">
        <is>
          <t>Bank lockbox file or emailed remittance advice</t>
        </is>
      </c>
      <c r="D8" s="6" t="inlineStr">
        <is>
          <t>Bank portal, Outlook</t>
        </is>
      </c>
    </row>
    <row r="9">
      <c r="A9" s="8" t="n">
        <v>2</v>
      </c>
      <c r="B9" s="9" t="inlineStr">
        <is>
          <t>Match to open invoices</t>
        </is>
      </c>
      <c r="C9" s="8" t="inlineStr">
        <is>
          <t>Match by invoice #, PO #, amount and customer</t>
        </is>
      </c>
      <c r="D9" s="8" t="inlineStr">
        <is>
          <t>SAP</t>
        </is>
      </c>
    </row>
    <row r="10">
      <c r="A10" s="6" t="n">
        <v>3</v>
      </c>
      <c r="B10" s="7" t="inlineStr">
        <is>
          <t>Apply cash</t>
        </is>
      </c>
      <c r="C10" s="6" t="inlineStr">
        <is>
          <t>Post matched payments against open items</t>
        </is>
      </c>
      <c r="D10" s="6" t="inlineStr">
        <is>
          <t>SAP</t>
        </is>
      </c>
    </row>
    <row r="11">
      <c r="A11" s="8" t="n">
        <v>4</v>
      </c>
      <c r="B11" s="9" t="inlineStr">
        <is>
          <t>Flag exceptions</t>
        </is>
      </c>
      <c r="C11" s="8" t="inlineStr">
        <is>
          <t>Short pay, unapplied cash, disputed amount</t>
        </is>
      </c>
      <c r="D11" s="8" t="inlineStr">
        <is>
          <t>SAP</t>
        </is>
      </c>
    </row>
    <row r="12">
      <c r="A12" s="6" t="n">
        <v>5</v>
      </c>
      <c r="B12" s="7" t="inlineStr">
        <is>
          <t>Route exception</t>
        </is>
      </c>
      <c r="C12" s="6" t="inlineStr">
        <is>
          <t>Send to collections or deductions team for resolution</t>
        </is>
      </c>
      <c r="D12" s="6" t="inlineStr">
        <is>
          <t>SAP, ServiceNow</t>
        </is>
      </c>
    </row>
    <row r="15">
      <c r="A15" s="4" t="inlineStr">
        <is>
          <t>CURRENT-STATE INPUTS</t>
        </is>
      </c>
    </row>
    <row r="16">
      <c r="A16" t="inlineStr">
        <is>
          <t>Remittances per month</t>
        </is>
      </c>
      <c r="B16" t="n">
        <v>9000</v>
      </c>
      <c r="C16" s="10" t="inlineStr"/>
    </row>
    <row r="17">
      <c r="A17" t="inlineStr">
        <is>
          <t>Remittances per year</t>
        </is>
      </c>
      <c r="B17">
        <f>B16*12</f>
        <v/>
      </c>
      <c r="C17" s="10" t="inlineStr">
        <is>
          <t>Volume/month x 12</t>
        </is>
      </c>
    </row>
    <row r="18">
      <c r="A18" t="inlineStr">
        <is>
          <t>Manual AHT per item (minutes)</t>
        </is>
      </c>
      <c r="B18" t="n">
        <v>7</v>
      </c>
      <c r="C18" s="10" t="inlineStr"/>
    </row>
    <row r="19">
      <c r="A19" t="inlineStr">
        <is>
          <t>% requiring manual matching (exceptions)</t>
        </is>
      </c>
      <c r="B19" s="11" t="n">
        <v>0.22</v>
      </c>
      <c r="C19" s="10" t="inlineStr"/>
    </row>
    <row r="20">
      <c r="A20" t="inlineStr">
        <is>
          <t>Productive hours per FTE per year</t>
        </is>
      </c>
      <c r="B20" t="n">
        <v>1750</v>
      </c>
      <c r="C20" s="10" t="inlineStr">
        <is>
          <t>Standard assumption — adjust to your org</t>
        </is>
      </c>
    </row>
    <row r="21">
      <c r="A21" t="inlineStr">
        <is>
          <t>Current team FTE-equivalent</t>
        </is>
      </c>
      <c r="B21" s="12">
        <f>B17*B18/60/B20</f>
        <v/>
      </c>
      <c r="C21" s="10" t="inlineStr">
        <is>
          <t>(Annual volume x AHT in hrs) / productive hrs</t>
        </is>
      </c>
    </row>
    <row r="23">
      <c r="A23" s="13" t="inlineStr">
        <is>
          <t>All figures on this sheet are illustrative, built for training — replace with live workshop data before using this as a real business case.</t>
        </is>
      </c>
    </row>
  </sheetData>
  <mergeCells count="2">
    <mergeCell ref="A23:H23"/>
    <mergeCell ref="A4:H4"/>
  </mergeCells>
  <printOptions horizontalCentered="0"/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30" customWidth="1" min="3" max="3"/>
    <col width="30" customWidth="1" min="4" max="4"/>
    <col width="11" customWidth="1" min="5" max="5"/>
    <col width="11" customWidth="1" min="6" max="6"/>
    <col width="42" customWidth="1" min="7" max="7"/>
  </cols>
  <sheetData>
    <row r="1">
      <c r="A1" s="1" t="inlineStr">
        <is>
          <t>Complexity Scoring</t>
        </is>
      </c>
    </row>
    <row r="2">
      <c r="A2" s="2" t="inlineStr">
        <is>
          <t>Three dimensions (simplified from the source model’s five) — 1 (low) to 5 (high).</t>
        </is>
      </c>
    </row>
    <row r="4">
      <c r="A4" s="5" t="inlineStr">
        <is>
          <t>Dimension</t>
        </is>
      </c>
      <c r="B4" s="5" t="inlineStr">
        <is>
          <t>Weight</t>
        </is>
      </c>
      <c r="C4" s="5" t="inlineStr">
        <is>
          <t>Low (1)</t>
        </is>
      </c>
      <c r="D4" s="5" t="inlineStr">
        <is>
          <t>High (5)</t>
        </is>
      </c>
      <c r="E4" s="5" t="inlineStr">
        <is>
          <t>Score (1-5)</t>
        </is>
      </c>
      <c r="F4" s="5" t="inlineStr">
        <is>
          <t>Weighted</t>
        </is>
      </c>
      <c r="G4" s="5" t="inlineStr">
        <is>
          <t>Evidence from the workshop</t>
        </is>
      </c>
    </row>
    <row r="5" ht="30" customHeight="1">
      <c r="A5" s="9" t="inlineStr">
        <is>
          <t>Data &amp; Input Complexity</t>
        </is>
      </c>
      <c r="B5" s="14" t="n">
        <v>0.35</v>
      </c>
      <c r="C5" s="8" t="inlineStr">
        <is>
          <t>Structured digital (API, DB, fixed CSV)</t>
        </is>
      </c>
      <c r="D5" s="8" t="inlineStr">
        <is>
          <t>Unstructured — scans, handwriting, free text</t>
        </is>
      </c>
      <c r="E5" s="15" t="n">
        <v>3</v>
      </c>
      <c r="F5" s="16">
        <f>B5*E5</f>
        <v/>
      </c>
      <c r="G5" s="8" t="inlineStr">
        <is>
          <t>Remittances arrive as emails with PDF/scanned lockbox attachments; format varies by bank.</t>
        </is>
      </c>
    </row>
    <row r="6" ht="30" customHeight="1">
      <c r="A6" s="9" t="inlineStr">
        <is>
          <t>Process Logic Complexity</t>
        </is>
      </c>
      <c r="B6" s="14" t="n">
        <v>0.35</v>
      </c>
      <c r="C6" s="8" t="inlineStr">
        <is>
          <t>Deterministic rules, &lt;5% exceptions</t>
        </is>
      </c>
      <c r="D6" s="8" t="inlineStr">
        <is>
          <t>Subjective judgment, &gt;15% exceptions</t>
        </is>
      </c>
      <c r="E6" s="15" t="n">
        <v>3</v>
      </c>
      <c r="F6" s="16">
        <f>B6*E6</f>
        <v/>
      </c>
      <c r="G6" s="8" t="inlineStr">
        <is>
          <t>Matching rules are mostly deterministic, but 22% of volume needs manual judgment.</t>
        </is>
      </c>
    </row>
    <row r="7" ht="30" customHeight="1">
      <c r="A7" s="9" t="inlineStr">
        <is>
          <t>Technical &amp; System Complexity</t>
        </is>
      </c>
      <c r="B7" s="14" t="n">
        <v>0.3</v>
      </c>
      <c r="C7" s="8" t="inlineStr">
        <is>
          <t>1-2 modern apps, API access, stable</t>
        </is>
      </c>
      <c r="D7" s="8" t="inlineStr">
        <is>
          <t>5+ apps, Citrix/VDI/MFA, migration planned</t>
        </is>
      </c>
      <c r="E7" s="15" t="n">
        <v>2</v>
      </c>
      <c r="F7" s="16">
        <f>B7*E7</f>
        <v/>
      </c>
      <c r="G7" s="8" t="inlineStr">
        <is>
          <t>SAP + bank portal only; both stable, no migration planned in the next 12 months.</t>
        </is>
      </c>
    </row>
    <row r="8">
      <c r="A8" s="17" t="inlineStr">
        <is>
          <t>Weighted Complexity Score</t>
        </is>
      </c>
      <c r="B8" s="18" t="n"/>
      <c r="C8" s="18" t="n"/>
      <c r="D8" s="18" t="n"/>
      <c r="E8" s="18" t="n"/>
      <c r="F8" s="19">
        <f>SUM(F5:F7)</f>
        <v/>
      </c>
    </row>
    <row r="10">
      <c r="A10" s="13" t="inlineStr">
        <is>
          <t>Change any Score (1-5) in column E to re-run the model — the weighted total, the prioritization sheet, and the quadrant placement all recalculate automatically.</t>
        </is>
      </c>
    </row>
  </sheetData>
  <mergeCells count="2">
    <mergeCell ref="A10:G10"/>
    <mergeCell ref="A8:E8"/>
  </mergeCells>
  <printOptions horizontalCentered="0"/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30" customWidth="1" min="3" max="3"/>
    <col width="30" customWidth="1" min="4" max="4"/>
    <col width="11" customWidth="1" min="5" max="5"/>
    <col width="11" customWidth="1" min="6" max="6"/>
    <col width="42" customWidth="1" min="7" max="7"/>
  </cols>
  <sheetData>
    <row r="1">
      <c r="A1" s="1" t="inlineStr">
        <is>
          <t>Impact Scoring</t>
        </is>
      </c>
    </row>
    <row r="2">
      <c r="A2" s="2" t="inlineStr">
        <is>
          <t>Two dimensions (simplified from the source model’s five) — 1 (low) to 5 (high).</t>
        </is>
      </c>
    </row>
    <row r="4">
      <c r="A4" s="20" t="inlineStr">
        <is>
          <t>Dimension</t>
        </is>
      </c>
      <c r="B4" s="20" t="inlineStr">
        <is>
          <t>Weight</t>
        </is>
      </c>
      <c r="C4" s="20" t="inlineStr">
        <is>
          <t>Low (1)</t>
        </is>
      </c>
      <c r="D4" s="20" t="inlineStr">
        <is>
          <t>High (5)</t>
        </is>
      </c>
      <c r="E4" s="20" t="inlineStr">
        <is>
          <t>Score (1-5)</t>
        </is>
      </c>
      <c r="F4" s="20" t="inlineStr">
        <is>
          <t>Weighted</t>
        </is>
      </c>
      <c r="G4" s="20" t="inlineStr">
        <is>
          <t>Evidence from the workshop</t>
        </is>
      </c>
    </row>
    <row r="5" ht="30" customHeight="1">
      <c r="A5" s="9" t="inlineStr">
        <is>
          <t>Productivity</t>
        </is>
      </c>
      <c r="B5" s="14" t="n">
        <v>0.5</v>
      </c>
      <c r="C5" s="8" t="inlineStr">
        <is>
          <t>&lt; 0.5 FTE released, no P&amp;L line</t>
        </is>
      </c>
      <c r="D5" s="8" t="inlineStr">
        <is>
          <t>&gt; 3.0 FTEs released</t>
        </is>
      </c>
      <c r="E5" s="21" t="n">
        <v>5</v>
      </c>
      <c r="F5" s="16">
        <f>B5*E5</f>
        <v/>
      </c>
      <c r="G5" s="8" t="inlineStr">
        <is>
          <t>~4.0 FTEs released (see Sheet 6) — well above the high-impact threshold.</t>
        </is>
      </c>
    </row>
    <row r="6" ht="30" customHeight="1">
      <c r="A6" s="9" t="inlineStr">
        <is>
          <t>Business Outcome</t>
        </is>
      </c>
      <c r="B6" s="14" t="n">
        <v>0.5</v>
      </c>
      <c r="C6" s="8" t="inlineStr">
        <is>
          <t>No direct revenue / margin line</t>
        </is>
      </c>
      <c r="D6" s="8" t="inlineStr">
        <is>
          <t>Direct revenue, margin or risk line</t>
        </is>
      </c>
      <c r="E6" s="21" t="n">
        <v>4</v>
      </c>
      <c r="F6" s="16">
        <f>B6*E6</f>
        <v/>
      </c>
      <c r="G6" s="8" t="inlineStr">
        <is>
          <t>Faster cash recognition improves DSO and working capital; no direct revenue capture.</t>
        </is>
      </c>
    </row>
    <row r="7">
      <c r="A7" s="22" t="inlineStr">
        <is>
          <t>Weighted Impact Score</t>
        </is>
      </c>
      <c r="B7" s="23" t="n"/>
      <c r="C7" s="23" t="n"/>
      <c r="D7" s="23" t="n"/>
      <c r="E7" s="23" t="n"/>
      <c r="F7" s="24">
        <f>SUM(F5:F6)</f>
        <v/>
      </c>
    </row>
    <row r="9" ht="30" customHeight="1">
      <c r="A9" s="13" t="inlineStr">
        <is>
          <t>Productivity = FTE capacity released, cycle time / SLA reduction, rework and error elimination. Business Outcome = revenue, margin, cash flow / working capital, compliance risk avoided. Change any Score to re-run the model.</t>
        </is>
      </c>
    </row>
  </sheetData>
  <mergeCells count="2">
    <mergeCell ref="A7:E7"/>
    <mergeCell ref="A9:G9"/>
  </mergeCells>
  <printOptions horizontalCentered="0"/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How the Priority Was Arrived At</t>
        </is>
      </c>
    </row>
    <row r="2">
      <c r="A2" s="2" t="inlineStr">
        <is>
          <t>Fully transparent — change nothing here; it recalculates from Sheets 2 and 3.</t>
        </is>
      </c>
    </row>
    <row r="4">
      <c r="A4" s="4" t="inlineStr">
        <is>
          <t>STEP 1 — PULL THE TWO SCORES</t>
        </is>
      </c>
    </row>
    <row r="5">
      <c r="A5" s="5" t="inlineStr">
        <is>
          <t>Score</t>
        </is>
      </c>
      <c r="B5" s="5" t="inlineStr">
        <is>
          <t>Value</t>
        </is>
      </c>
      <c r="C5" s="5" t="inlineStr">
        <is>
          <t>Source</t>
        </is>
      </c>
    </row>
    <row r="6">
      <c r="A6" s="25" t="inlineStr">
        <is>
          <t>Complexity Score</t>
        </is>
      </c>
      <c r="B6" s="26">
        <f>'2. Complexity Scoring'!F8</f>
        <v/>
      </c>
      <c r="C6" s="27" t="inlineStr">
        <is>
          <t>Sheet 2, Weighted Complexity Score</t>
        </is>
      </c>
    </row>
    <row r="7">
      <c r="A7" s="25" t="inlineStr">
        <is>
          <t>Impact Score</t>
        </is>
      </c>
      <c r="B7" s="28">
        <f>'3. Impact Scoring'!F7</f>
        <v/>
      </c>
      <c r="C7" s="27" t="inlineStr">
        <is>
          <t>Sheet 3, Weighted Impact Score</t>
        </is>
      </c>
    </row>
    <row r="10">
      <c r="A10" s="4" t="inlineStr">
        <is>
          <t>STEP 2 — APPLY THE THRESHOLD (midpoint of the 1-5 scale)</t>
        </is>
      </c>
    </row>
    <row r="11">
      <c r="A11" s="5" t="inlineStr">
        <is>
          <t>Axis</t>
        </is>
      </c>
      <c r="B11" s="5" t="inlineStr">
        <is>
          <t>Rule</t>
        </is>
      </c>
      <c r="C11" s="5" t="inlineStr">
        <is>
          <t>This process</t>
        </is>
      </c>
      <c r="D11" s="5" t="inlineStr">
        <is>
          <t>Result</t>
        </is>
      </c>
    </row>
    <row r="12">
      <c r="A12" s="9" t="inlineStr">
        <is>
          <t>Complexity</t>
        </is>
      </c>
      <c r="B12" s="8" t="inlineStr">
        <is>
          <t>&lt;= 3.0 -&gt; Low       |       &gt; 3.0 -&gt; High</t>
        </is>
      </c>
      <c r="C12" s="16">
        <f>B6</f>
        <v/>
      </c>
      <c r="D12" s="9">
        <f>IF(B6&lt;=3,"Low Complexity","High Complexity")</f>
        <v/>
      </c>
    </row>
    <row r="13">
      <c r="A13" s="9" t="inlineStr">
        <is>
          <t>Impact</t>
        </is>
      </c>
      <c r="B13" s="8" t="inlineStr">
        <is>
          <t>&gt;= 3.0 -&gt; High       |       &lt; 3.0 -&gt; Low</t>
        </is>
      </c>
      <c r="C13" s="16">
        <f>B7</f>
        <v/>
      </c>
      <c r="D13" s="9">
        <f>IF(B7&gt;=3,"High Impact","Low Impact")</f>
        <v/>
      </c>
    </row>
    <row r="16">
      <c r="A16" s="4" t="inlineStr">
        <is>
          <t>STEP 3 — COMBINE INTO A PRIORITY WAVE</t>
        </is>
      </c>
    </row>
    <row r="17" ht="32" customHeight="1">
      <c r="A17" s="29" t="inlineStr">
        <is>
          <t>This process is a:</t>
        </is>
      </c>
      <c r="B17" s="30">
        <f>IF(AND(B7&gt;=3,B6&lt;=3),"Quick Win",IF(AND(B7&gt;=3,B6&gt;3),"Strategic Bet",IF(AND(B7&lt;3,B6&lt;=3),"Scale Filler","Deprioritize / Re-engineer")))</f>
        <v/>
      </c>
    </row>
    <row r="19" ht="48" customHeight="1">
      <c r="A19" s="3" t="inlineStr">
        <is>
          <t>Rule of thumb: High Impact + Low Complexity = Quick Win (do it first). High Impact + High Complexity = Strategic Bet (worth it, needs architecture). Low Impact + Low Complexity = Scale Filler (backlog). Low Impact + High Complexity = Deprioritize — fix the process before automating it.</t>
        </is>
      </c>
    </row>
    <row r="21">
      <c r="A21" s="31" t="inlineStr">
        <is>
          <t>Impact</t>
        </is>
      </c>
    </row>
    <row r="22">
      <c r="A22" s="4" t="inlineStr">
        <is>
          <t>VISUAL PLACEMENT</t>
        </is>
      </c>
    </row>
    <row r="23">
      <c r="B23" s="32" t="inlineStr">
        <is>
          <t>Quick Win</t>
        </is>
      </c>
      <c r="D23" s="33" t="inlineStr">
        <is>
          <t>Strategic Bet</t>
        </is>
      </c>
    </row>
    <row r="24">
      <c r="A24" s="31" t="inlineStr">
        <is>
          <t>High</t>
        </is>
      </c>
    </row>
    <row r="25"/>
    <row r="26">
      <c r="B26" s="34" t="inlineStr">
        <is>
          <t>Scale Filler</t>
        </is>
      </c>
      <c r="D26" s="35" t="inlineStr">
        <is>
          <t>Deprioritize / Re-engineer</t>
        </is>
      </c>
    </row>
    <row r="27">
      <c r="A27" s="31" t="inlineStr">
        <is>
          <t>Low</t>
        </is>
      </c>
    </row>
    <row r="28"/>
    <row r="29">
      <c r="C29" s="36" t="inlineStr">
        <is>
          <t>Low</t>
        </is>
      </c>
      <c r="D29" s="37" t="inlineStr">
        <is>
          <t>&lt;— Complexity —&gt;</t>
        </is>
      </c>
      <c r="E29" s="36" t="inlineStr">
        <is>
          <t>High</t>
        </is>
      </c>
    </row>
    <row r="31">
      <c r="A31" s="13" t="inlineStr">
        <is>
          <t>The bold border marks where this process actually lands, driven live by the B17 formula above.</t>
        </is>
      </c>
    </row>
  </sheetData>
  <mergeCells count="7">
    <mergeCell ref="A19:F19"/>
    <mergeCell ref="B17:D17"/>
    <mergeCell ref="A31:F31"/>
    <mergeCell ref="D23:E25"/>
    <mergeCell ref="B23:C25"/>
    <mergeCell ref="B26:C28"/>
    <mergeCell ref="D26:E28"/>
  </mergeCells>
  <conditionalFormatting sqref="B23:C25">
    <cfRule type="expression" priority="1" dxfId="0">
      <formula>$B$17="Quick Win"</formula>
    </cfRule>
  </conditionalFormatting>
  <conditionalFormatting sqref="D23:E25">
    <cfRule type="expression" priority="2" dxfId="0">
      <formula>$B$17="Strategic Bet"</formula>
    </cfRule>
  </conditionalFormatting>
  <conditionalFormatting sqref="B26:C28">
    <cfRule type="expression" priority="3" dxfId="0">
      <formula>$B$17="Scale Filler"</formula>
    </cfRule>
  </conditionalFormatting>
  <conditionalFormatting sqref="D26:E28">
    <cfRule type="expression" priority="4" dxfId="0">
      <formula>$B$17="Deprioritize / Re-engineer"</formula>
    </cfRule>
  </conditionalFormatting>
  <printOptions horizontalCentered="0"/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55" customWidth="1" min="3" max="3"/>
  </cols>
  <sheetData>
    <row r="1">
      <c r="A1" s="1" t="inlineStr">
        <is>
          <t>Technology Archetype</t>
        </is>
      </c>
    </row>
    <row r="2">
      <c r="A2" s="2" t="inlineStr">
        <is>
          <t>Four levers combine — no single archetype covers this process end to end.</t>
        </is>
      </c>
    </row>
    <row r="4">
      <c r="A4" s="5" t="inlineStr">
        <is>
          <t>Archetype</t>
        </is>
      </c>
      <c r="B4" s="5" t="inlineStr">
        <is>
          <t>Role in this process</t>
        </is>
      </c>
      <c r="C4" s="5" t="inlineStr">
        <is>
          <t>Why this archetype</t>
        </is>
      </c>
    </row>
    <row r="5" ht="34" customHeight="1">
      <c r="A5" s="38" t="inlineStr">
        <is>
          <t>IDP</t>
        </is>
      </c>
      <c r="B5" s="6" t="inlineStr">
        <is>
          <t>Extract remittance data from PDFs / scans</t>
        </is>
      </c>
      <c r="C5" s="6" t="inlineStr">
        <is>
          <t>Inputs are semi-structured documents (remittance advices, lockbox scans) that need field extraction.</t>
        </is>
      </c>
    </row>
    <row r="6" ht="34" customHeight="1">
      <c r="A6" s="15" t="inlineStr">
        <is>
          <t>AI-Enabled Automation</t>
        </is>
      </c>
      <c r="B6" s="8" t="inlineStr">
        <is>
          <t>Fuzzy-match remittance lines to open invoices</t>
        </is>
      </c>
      <c r="C6" s="8" t="inlineStr">
        <is>
          <t>Matching is mostly rule-based but needs tolerance for imperfect references — a classic ML matching task.</t>
        </is>
      </c>
    </row>
    <row r="7" ht="34" customHeight="1">
      <c r="A7" s="38" t="inlineStr">
        <is>
          <t>Agentic</t>
        </is>
      </c>
      <c r="B7" s="6" t="inlineStr">
        <is>
          <t>Triage the 22% exceptions and recommend an action</t>
        </is>
      </c>
      <c r="C7" s="6" t="inlineStr">
        <is>
          <t>Exceptions need multi-step reasoning (which invoice, which reason code, who to route to) — not a fixed rule.</t>
        </is>
      </c>
    </row>
    <row r="8" ht="34" customHeight="1">
      <c r="A8" s="15" t="inlineStr">
        <is>
          <t>RPA</t>
        </is>
      </c>
      <c r="B8" s="8" t="inlineStr">
        <is>
          <t>Post matched cash into SAP</t>
        </is>
      </c>
      <c r="C8" s="8" t="inlineStr">
        <is>
          <t>Once matched, posting is a deterministic, repetitive UI/API step.</t>
        </is>
      </c>
    </row>
    <row r="10" ht="30" customHeight="1">
      <c r="A10" s="13" t="inlineStr">
        <is>
          <t>Broken process? Fix it first — none of the five archetypes (RPA, IDP, AI-Enabled Automation, Agentic, BPM) rescue a process nobody can explain consistently.</t>
        </is>
      </c>
    </row>
  </sheetData>
  <mergeCells count="1">
    <mergeCell ref="A10:C10"/>
  </mergeCells>
  <printOptions horizontalCentered="0"/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ROI Calculation</t>
        </is>
      </c>
    </row>
    <row r="2">
      <c r="A2" s="2" t="inlineStr">
        <is>
          <t>Fully formula-driven — change any input and every downstream figure recalculates, including the headline card on the PPT slide.</t>
        </is>
      </c>
    </row>
    <row r="4">
      <c r="A4" s="4" t="inlineStr">
        <is>
          <t>ASSUMPTIONS</t>
        </is>
      </c>
    </row>
    <row r="5">
      <c r="A5" s="5" t="inlineStr">
        <is>
          <t>Input</t>
        </is>
      </c>
      <c r="B5" s="5" t="inlineStr">
        <is>
          <t>Value</t>
        </is>
      </c>
      <c r="C5" s="5" t="inlineStr">
        <is>
          <t>Note</t>
        </is>
      </c>
    </row>
    <row r="6">
      <c r="A6" s="27" t="inlineStr">
        <is>
          <t>Current team FTE-equivalent</t>
        </is>
      </c>
      <c r="B6" s="39">
        <f>'1. Process Overview'!B21</f>
        <v/>
      </c>
      <c r="C6" s="40" t="inlineStr">
        <is>
          <t>From Sheet 1</t>
        </is>
      </c>
    </row>
    <row r="7">
      <c r="A7" s="27" t="inlineStr">
        <is>
          <t>Automation coverage (%)</t>
        </is>
      </c>
      <c r="B7" s="41" t="n">
        <v>0.55</v>
      </c>
      <c r="C7" s="40" t="inlineStr">
        <is>
          <t>Share of current effort the solution automates</t>
        </is>
      </c>
    </row>
    <row r="8">
      <c r="A8" s="27" t="inlineStr">
        <is>
          <t>FTE released</t>
        </is>
      </c>
      <c r="B8" s="39">
        <f>B6*B7</f>
        <v/>
      </c>
      <c r="C8" s="40" t="inlineStr">
        <is>
          <t>Current FTE x coverage</t>
        </is>
      </c>
    </row>
    <row r="9">
      <c r="A9" s="27" t="inlineStr">
        <is>
          <t>Fully loaded FTE cost ($/yr)</t>
        </is>
      </c>
      <c r="B9" s="42" t="n">
        <v>58000</v>
      </c>
      <c r="C9" s="40" t="inlineStr"/>
    </row>
    <row r="10">
      <c r="A10" s="27" t="inlineStr">
        <is>
          <t>Annual FTE savings, run-rate ($)</t>
        </is>
      </c>
      <c r="B10" s="42">
        <f>B8*B9</f>
        <v/>
      </c>
      <c r="C10" s="40" t="inlineStr">
        <is>
          <t>FTE released x FTE cost</t>
        </is>
      </c>
    </row>
    <row r="11">
      <c r="A11" s="27" t="inlineStr">
        <is>
          <t>Annual error incidents avoided</t>
        </is>
      </c>
      <c r="B11" s="43" t="n">
        <v>4500</v>
      </c>
      <c r="C11" s="40" t="inlineStr">
        <is>
          <t>Distinct mis-applied-cash cases per year</t>
        </is>
      </c>
    </row>
    <row r="12">
      <c r="A12" s="27" t="inlineStr">
        <is>
          <t>Avg cost per correction ($)</t>
        </is>
      </c>
      <c r="B12" s="44" t="n">
        <v>15</v>
      </c>
      <c r="C12" s="40" t="inlineStr"/>
    </row>
    <row r="13">
      <c r="A13" s="27" t="inlineStr">
        <is>
          <t>Error / rework savings, run-rate ($)</t>
        </is>
      </c>
      <c r="B13" s="42">
        <f>B11*B12</f>
        <v/>
      </c>
      <c r="C13" s="40" t="inlineStr"/>
    </row>
    <row r="14">
      <c r="A14" s="27" t="inlineStr">
        <is>
          <t>Working capital / SLA gains, run-rate ($)</t>
        </is>
      </c>
      <c r="B14" s="42" t="n">
        <v>12000</v>
      </c>
      <c r="C14" s="40" t="inlineStr">
        <is>
          <t>Early-payment capture + SLA penalty avoidance</t>
        </is>
      </c>
    </row>
    <row r="15">
      <c r="A15" s="25" t="inlineStr">
        <is>
          <t>Total gross benefit, run-rate ($/yr)</t>
        </is>
      </c>
      <c r="B15" s="45">
        <f>B10+B13+B14</f>
        <v/>
      </c>
      <c r="C15" s="40" t="inlineStr">
        <is>
          <t>FTE + error/rework + working capital</t>
        </is>
      </c>
    </row>
    <row r="18">
      <c r="A18" s="4" t="inlineStr">
        <is>
          <t>YEAR-BY-YEAR BUILD-UP</t>
        </is>
      </c>
    </row>
    <row r="19">
      <c r="A19" s="27" t="inlineStr"/>
      <c r="B19" s="20" t="inlineStr">
        <is>
          <t>Year 0 (Build)</t>
        </is>
      </c>
      <c r="C19" s="20" t="inlineStr">
        <is>
          <t>Year 1</t>
        </is>
      </c>
      <c r="D19" s="20" t="inlineStr">
        <is>
          <t>Year 2</t>
        </is>
      </c>
      <c r="E19" s="20" t="inlineStr">
        <is>
          <t>Year 3</t>
        </is>
      </c>
      <c r="F19" s="20" t="inlineStr">
        <is>
          <t>Total</t>
        </is>
      </c>
    </row>
    <row r="20">
      <c r="A20" s="46" t="inlineStr">
        <is>
          <t>Ramp — % of run-rate realized</t>
        </is>
      </c>
      <c r="B20" s="27" t="n"/>
      <c r="C20" s="41" t="n">
        <v>0.55</v>
      </c>
      <c r="D20" s="41" t="n">
        <v>0.9</v>
      </c>
      <c r="E20" s="41" t="n">
        <v>1</v>
      </c>
      <c r="F20" s="27" t="n"/>
    </row>
    <row r="21">
      <c r="A21" s="25" t="inlineStr">
        <is>
          <t>Gross Financial Benefit ($)</t>
        </is>
      </c>
      <c r="B21" s="42" t="n">
        <v>0</v>
      </c>
      <c r="C21" s="42">
        <f>$B$15*C20</f>
        <v/>
      </c>
      <c r="D21" s="42">
        <f>$B$15*D20</f>
        <v/>
      </c>
      <c r="E21" s="42">
        <f>$B$15*E20</f>
        <v/>
      </c>
      <c r="F21" s="42">
        <f>SUM(B21:E21)</f>
        <v/>
      </c>
    </row>
    <row r="22">
      <c r="A22" s="27" t="inlineStr">
        <is>
          <t>Implementation / Build Costs ($)</t>
        </is>
      </c>
      <c r="B22" s="47" t="n">
        <v>-90000</v>
      </c>
      <c r="C22" s="47" t="n">
        <v>0</v>
      </c>
      <c r="D22" s="47" t="n">
        <v>0</v>
      </c>
      <c r="E22" s="47" t="n">
        <v>0</v>
      </c>
      <c r="F22" s="47">
        <f>SUM(B22:E22)</f>
        <v/>
      </c>
    </row>
    <row r="23">
      <c r="A23" s="27" t="inlineStr">
        <is>
          <t>Software Licensing &amp; Run Costs ($)</t>
        </is>
      </c>
      <c r="B23" s="47" t="n">
        <v>-5000</v>
      </c>
      <c r="C23" s="47" t="n">
        <v>-22000</v>
      </c>
      <c r="D23" s="47" t="n">
        <v>-24000</v>
      </c>
      <c r="E23" s="47" t="n">
        <v>-26000</v>
      </c>
      <c r="F23" s="47">
        <f>SUM(B23:E23)</f>
        <v/>
      </c>
    </row>
    <row r="24">
      <c r="A24" s="25" t="inlineStr">
        <is>
          <t>Net Cash Flow ($)</t>
        </is>
      </c>
      <c r="B24" s="48">
        <f>B21+B22+B23</f>
        <v/>
      </c>
      <c r="C24" s="48">
        <f>C21+C22+C23</f>
        <v/>
      </c>
      <c r="D24" s="48">
        <f>D21+D22+D23</f>
        <v/>
      </c>
      <c r="E24" s="48">
        <f>E21+E22+E23</f>
        <v/>
      </c>
      <c r="F24" s="48">
        <f>F21+F22+F23</f>
        <v/>
      </c>
    </row>
    <row r="25">
      <c r="A25" s="49" t="inlineStr">
        <is>
          <t>Cumulative Net Benefit ($)</t>
        </is>
      </c>
      <c r="B25" s="50">
        <f>B24</f>
        <v/>
      </c>
      <c r="C25" s="50">
        <f>B25+C24</f>
        <v/>
      </c>
      <c r="D25" s="50">
        <f>C25+D24</f>
        <v/>
      </c>
      <c r="E25" s="50">
        <f>D25+E24</f>
        <v/>
      </c>
      <c r="F25" s="27" t="n"/>
    </row>
    <row r="28">
      <c r="A28" s="4" t="inlineStr">
        <is>
          <t>HEADLINE METRICS  (these four numbers are on the PPT slide)</t>
        </is>
      </c>
    </row>
    <row r="29">
      <c r="A29" s="25" t="inlineStr">
        <is>
          <t>Build cost</t>
        </is>
      </c>
      <c r="B29" s="51">
        <f>-B22-B23</f>
        <v/>
      </c>
    </row>
    <row r="30">
      <c r="A30" s="25" t="inlineStr">
        <is>
          <t>Year-1 net benefit</t>
        </is>
      </c>
      <c r="B30" s="51">
        <f>C24</f>
        <v/>
      </c>
    </row>
    <row r="31">
      <c r="A31" s="25" t="inlineStr">
        <is>
          <t>Payback period (months from go-live)</t>
        </is>
      </c>
      <c r="B31" s="52">
        <f>ABS(B24)/(C24/12)</f>
        <v/>
      </c>
    </row>
    <row r="32">
      <c r="A32" s="25" t="inlineStr">
        <is>
          <t>3-yr cumulative net value</t>
        </is>
      </c>
      <c r="B32" s="51">
        <f>E25</f>
        <v/>
      </c>
    </row>
    <row r="33">
      <c r="A33" s="25" t="inlineStr">
        <is>
          <t>3-yr NPV @ 10% discount rate</t>
        </is>
      </c>
      <c r="B33" s="51">
        <f>NPV(0.10,C24:E24)+B24</f>
        <v/>
      </c>
    </row>
    <row r="35" ht="30" customHeight="1">
      <c r="A35" s="13" t="inlineStr">
        <is>
          <t>All figures on this sheet are illustrative training inputs. Update the assumptions above with live workshop data before using this as a real business case — every total, and the priority classification on Sheet 4, will recalculate.</t>
        </is>
      </c>
    </row>
  </sheetData>
  <mergeCells count="1">
    <mergeCell ref="A35:F35"/>
  </mergeCells>
  <printOptions horizontalCentered="0"/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2026-08-24T07:52:44Z</dcterms:created>
  <dcterms:modified xmlns:dcterms="http://purl.org/dc/terms/" xmlns:xsi="http://www.w3.org/2001/XMLSchema-instance" xsi:type="dcterms:W3CDTF">2026-08-24T07:52:44Z</dcterms:modified>
</cp:coreProperties>
</file>